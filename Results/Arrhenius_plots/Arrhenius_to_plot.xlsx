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d03\Desktop\pipe_Difussion\Submission\To-Github\Results\Arrhenius_plots\"/>
    </mc:Choice>
  </mc:AlternateContent>
  <xr:revisionPtr revIDLastSave="0" documentId="13_ncr:1_{C04C061A-0C34-4ED3-9191-28E01FFAE479}" xr6:coauthVersionLast="36" xr6:coauthVersionMax="36" xr10:uidLastSave="{00000000-0000-0000-0000-000000000000}"/>
  <bookViews>
    <workbookView xWindow="0" yWindow="0" windowWidth="22260" windowHeight="12648" firstSheet="5" activeTab="8" xr2:uid="{00000000-000D-0000-FFFF-FFFF00000000}"/>
  </bookViews>
  <sheets>
    <sheet name="Simulation_EdgeDislocation_1v" sheetId="2" r:id="rId1"/>
    <sheet name="Simulation_EdgeDislocation_1vv" sheetId="11" r:id="rId2"/>
    <sheet name="Simulation_ScrewDislocation_1v" sheetId="5" r:id="rId3"/>
    <sheet name="Simulation_ScrewDislocation_1vv" sheetId="12" r:id="rId4"/>
    <sheet name="Simulation_EdgeDislocation_0v" sheetId="8" r:id="rId5"/>
    <sheet name="Simulation_Edge_true" sheetId="14" r:id="rId6"/>
    <sheet name="Simulation_Screw_true" sheetId="15" r:id="rId7"/>
    <sheet name="Bulk_Experiments" sheetId="6" r:id="rId8"/>
    <sheet name="Bulk_Simulations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4" l="1"/>
  <c r="B5" i="14"/>
  <c r="B4" i="14"/>
  <c r="B3" i="14"/>
  <c r="B2" i="12"/>
  <c r="B6" i="11"/>
  <c r="B5" i="11"/>
  <c r="B4" i="11"/>
  <c r="B3" i="11"/>
  <c r="B2" i="11"/>
  <c r="B2" i="14" l="1"/>
  <c r="B6" i="12" l="1"/>
  <c r="B5" i="12"/>
  <c r="B4" i="12"/>
  <c r="B3" i="12"/>
  <c r="B3" i="15" l="1"/>
  <c r="B4" i="15"/>
  <c r="B2" i="15"/>
  <c r="B6" i="15"/>
  <c r="B5" i="15"/>
</calcChain>
</file>

<file path=xl/sharedStrings.xml><?xml version="1.0" encoding="utf-8"?>
<sst xmlns="http://schemas.openxmlformats.org/spreadsheetml/2006/main" count="18" uniqueCount="3">
  <si>
    <t>DZn (m2/s)</t>
  </si>
  <si>
    <t>temp_K</t>
  </si>
  <si>
    <t>Temp(K)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</si>
</sst>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1" fontId="1" fillId="0" borderId="0" xfId="0" applyNumberFormat="1" applyFont="1" applyBorder="1"/>
    <xf numFmtId="11" fontId="0" fillId="0" borderId="0" xfId="0" applyNumberFormat="1" applyFont="1"/>
    <xf numFmtId="11" fontId="1" fillId="0" borderId="0" xfId="0" applyNumberFormat="1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9C2A-64E0-4D2C-BB6A-73576C6A595A}">
  <dimension ref="A1:I9"/>
  <sheetViews>
    <sheetView workbookViewId="0">
      <selection activeCell="B5" sqref="B5"/>
    </sheetView>
  </sheetViews>
  <sheetFormatPr defaultRowHeight="14.4"/>
  <cols>
    <col min="8" max="8" width="12" bestFit="1" customWidth="1"/>
  </cols>
  <sheetData>
    <row r="1" spans="1:9">
      <c r="A1" t="s">
        <v>1</v>
      </c>
      <c r="B1" t="s">
        <v>0</v>
      </c>
      <c r="F1" s="5"/>
    </row>
    <row r="2" spans="1:9">
      <c r="A2">
        <v>673</v>
      </c>
      <c r="B2" s="1">
        <v>7.6060899999999996E-13</v>
      </c>
      <c r="F2" s="5"/>
      <c r="G2" s="1"/>
      <c r="H2" s="1"/>
      <c r="I2" s="1"/>
    </row>
    <row r="3" spans="1:9">
      <c r="A3">
        <v>723</v>
      </c>
      <c r="B3" s="1">
        <v>1.1251720000000001E-12</v>
      </c>
      <c r="F3" s="5"/>
      <c r="G3" s="3"/>
      <c r="H3" s="1"/>
      <c r="I3" s="1"/>
    </row>
    <row r="4" spans="1:9">
      <c r="A4">
        <v>773</v>
      </c>
      <c r="B4" s="1">
        <v>2.5590970000000002E-12</v>
      </c>
      <c r="F4" s="5"/>
      <c r="G4" s="1"/>
      <c r="H4" s="1"/>
      <c r="I4" s="1"/>
    </row>
    <row r="5" spans="1:9">
      <c r="A5">
        <v>823</v>
      </c>
      <c r="B5" s="1">
        <v>6.6096479999999999E-12</v>
      </c>
      <c r="F5" s="5"/>
      <c r="G5" s="1"/>
      <c r="H5" s="1"/>
      <c r="I5" s="1"/>
    </row>
    <row r="6" spans="1:9">
      <c r="A6">
        <v>873</v>
      </c>
      <c r="B6" s="1">
        <v>7.7261600000000003E-12</v>
      </c>
      <c r="F6" s="5"/>
      <c r="H6" s="1"/>
      <c r="I6" s="1"/>
    </row>
    <row r="7" spans="1:9">
      <c r="F7" s="1"/>
    </row>
    <row r="8" spans="1:9">
      <c r="F8" s="1"/>
    </row>
    <row r="9" spans="1:9">
      <c r="F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4A42-FB99-4D77-8880-FCCAED5457D4}">
  <dimension ref="A1:H9"/>
  <sheetViews>
    <sheetView workbookViewId="0">
      <selection activeCell="B7" sqref="B7"/>
    </sheetView>
  </sheetViews>
  <sheetFormatPr defaultRowHeight="14.4"/>
  <cols>
    <col min="8" max="8" width="12" bestFit="1" customWidth="1"/>
  </cols>
  <sheetData>
    <row r="1" spans="1:8">
      <c r="A1" t="s">
        <v>1</v>
      </c>
      <c r="B1" t="s">
        <v>0</v>
      </c>
    </row>
    <row r="2" spans="1:8">
      <c r="A2">
        <v>673</v>
      </c>
      <c r="B2" s="1">
        <f>Simulation_EdgeDislocation_1v!B2*0.01398672</f>
        <v>1.0638425112479999E-14</v>
      </c>
      <c r="F2" s="1"/>
      <c r="G2" s="1"/>
      <c r="H2" s="1"/>
    </row>
    <row r="3" spans="1:8">
      <c r="A3">
        <v>723</v>
      </c>
      <c r="B3" s="1">
        <f>Simulation_EdgeDislocation_1v!B3*0.01582454</f>
        <v>1.7805329320880003E-14</v>
      </c>
      <c r="F3" s="1"/>
      <c r="G3" s="3"/>
      <c r="H3" s="1"/>
    </row>
    <row r="4" spans="1:8">
      <c r="A4">
        <v>773</v>
      </c>
      <c r="B4" s="1">
        <f>Simulation_EdgeDislocation_1v!B4*0.01779127</f>
        <v>4.5529585683190004E-14</v>
      </c>
      <c r="F4" s="1"/>
      <c r="G4" s="1"/>
      <c r="H4" s="1"/>
    </row>
    <row r="5" spans="1:8">
      <c r="A5">
        <v>823</v>
      </c>
      <c r="B5" s="1">
        <f>Simulation_EdgeDislocation_1v!B5*0.0198875</f>
        <v>1.3144937459999999E-13</v>
      </c>
      <c r="F5" s="1"/>
      <c r="G5" s="1"/>
      <c r="H5" s="1"/>
    </row>
    <row r="6" spans="1:8">
      <c r="A6">
        <v>873</v>
      </c>
      <c r="B6" s="1">
        <f>Simulation_EdgeDislocation_1v!B6*0.02211295</f>
        <v>1.70848189772E-13</v>
      </c>
      <c r="F6" s="1"/>
    </row>
    <row r="7" spans="1:8">
      <c r="F7" s="1"/>
    </row>
    <row r="8" spans="1:8">
      <c r="F8" s="1"/>
    </row>
    <row r="9" spans="1:8">
      <c r="F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4AA3-9D1B-4E4A-80D6-6C60180727C7}">
  <dimension ref="A1:I6"/>
  <sheetViews>
    <sheetView workbookViewId="0">
      <selection activeCell="B3" sqref="B3"/>
    </sheetView>
  </sheetViews>
  <sheetFormatPr defaultRowHeight="14.4"/>
  <sheetData>
    <row r="1" spans="1:9">
      <c r="A1" t="s">
        <v>1</v>
      </c>
      <c r="B1" t="s">
        <v>0</v>
      </c>
      <c r="F1" s="5"/>
    </row>
    <row r="2" spans="1:9">
      <c r="A2">
        <v>673</v>
      </c>
      <c r="B2" s="1">
        <v>2.214516E-14</v>
      </c>
      <c r="F2" s="5"/>
      <c r="H2" s="1"/>
      <c r="I2" s="1"/>
    </row>
    <row r="3" spans="1:9">
      <c r="A3">
        <v>723</v>
      </c>
      <c r="B3" s="1">
        <v>4.4166549999999999E-14</v>
      </c>
      <c r="F3" s="5"/>
      <c r="H3" s="1"/>
      <c r="I3" s="1"/>
    </row>
    <row r="4" spans="1:9">
      <c r="A4">
        <v>773</v>
      </c>
      <c r="B4" s="1">
        <v>4.6161790000000002E-14</v>
      </c>
      <c r="F4" s="5"/>
      <c r="H4" s="1"/>
      <c r="I4" s="1"/>
    </row>
    <row r="5" spans="1:9">
      <c r="A5">
        <v>823</v>
      </c>
      <c r="B5" s="1">
        <v>1.6526449999999999E-13</v>
      </c>
      <c r="F5" s="5"/>
      <c r="H5" s="1"/>
      <c r="I5" s="1"/>
    </row>
    <row r="6" spans="1:9">
      <c r="A6">
        <v>873</v>
      </c>
      <c r="B6" s="1">
        <v>3.9330739999999998E-13</v>
      </c>
      <c r="F6" s="5"/>
      <c r="H6" s="1"/>
      <c r="I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63EB-20B1-4C6F-8C57-7B2868A8346E}">
  <dimension ref="A1:B6"/>
  <sheetViews>
    <sheetView workbookViewId="0">
      <selection activeCell="B2" sqref="B2"/>
    </sheetView>
  </sheetViews>
  <sheetFormatPr defaultRowHeight="14.4"/>
  <sheetData>
    <row r="1" spans="1:2">
      <c r="A1" t="s">
        <v>1</v>
      </c>
      <c r="B1" t="s">
        <v>0</v>
      </c>
    </row>
    <row r="2" spans="1:2">
      <c r="A2">
        <v>673</v>
      </c>
      <c r="B2" s="1">
        <f>Simulation_ScrewDislocation_1v!B2*0.002016239</f>
        <v>4.464993525324E-17</v>
      </c>
    </row>
    <row r="3" spans="1:2">
      <c r="A3">
        <v>723</v>
      </c>
      <c r="B3" s="1">
        <f>Simulation_ScrewDislocation_1v!B3*0.002537218</f>
        <v>1.120601656579E-16</v>
      </c>
    </row>
    <row r="4" spans="1:2">
      <c r="A4">
        <v>773</v>
      </c>
      <c r="B4" s="1">
        <f>Simulation_ScrewDislocation_1v!B4*0.003140418</f>
        <v>1.4496731622822E-16</v>
      </c>
    </row>
    <row r="5" spans="1:2">
      <c r="A5">
        <v>823</v>
      </c>
      <c r="B5" s="1">
        <f>Simulation_ScrewDislocation_1v!B5*0.003830829</f>
        <v>6.3310003927049996E-16</v>
      </c>
    </row>
    <row r="6" spans="1:2">
      <c r="A6">
        <v>873</v>
      </c>
      <c r="B6" s="1">
        <f>Simulation_ScrewDislocation_1v!B6*0.00461282</f>
        <v>1.8142562408680001E-15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F4E3-DF05-4C93-A7A5-DD30FC32919A}">
  <dimension ref="A1:B5"/>
  <sheetViews>
    <sheetView workbookViewId="0">
      <selection activeCell="D4" sqref="D4"/>
    </sheetView>
  </sheetViews>
  <sheetFormatPr defaultRowHeight="14.4"/>
  <sheetData>
    <row r="1" spans="1:2">
      <c r="A1" t="s">
        <v>1</v>
      </c>
      <c r="B1" t="s">
        <v>0</v>
      </c>
    </row>
    <row r="2" spans="1:2">
      <c r="A2">
        <v>723</v>
      </c>
      <c r="B2" s="1">
        <v>4.5362980000000003E-15</v>
      </c>
    </row>
    <row r="3" spans="1:2">
      <c r="A3">
        <v>773</v>
      </c>
      <c r="B3" s="1">
        <v>1.2509899999999999E-14</v>
      </c>
    </row>
    <row r="4" spans="1:2">
      <c r="A4">
        <v>823</v>
      </c>
      <c r="B4" s="1">
        <v>1.8223033E-14</v>
      </c>
    </row>
    <row r="5" spans="1:2">
      <c r="A5">
        <v>873</v>
      </c>
      <c r="B5" s="1">
        <v>5.121065E-14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622C-8E20-4B50-A428-51AE4A771AB3}">
  <dimension ref="A1:B6"/>
  <sheetViews>
    <sheetView workbookViewId="0">
      <selection activeCell="B7" sqref="B7"/>
    </sheetView>
  </sheetViews>
  <sheetFormatPr defaultRowHeight="14.4"/>
  <sheetData>
    <row r="1" spans="1:2">
      <c r="A1" t="s">
        <v>1</v>
      </c>
      <c r="B1" t="s">
        <v>0</v>
      </c>
    </row>
    <row r="2" spans="1:2">
      <c r="A2">
        <v>673</v>
      </c>
      <c r="B2" s="1">
        <f>Simulation_EdgeDislocation_1vv!B2</f>
        <v>1.0638425112479999E-14</v>
      </c>
    </row>
    <row r="3" spans="1:2">
      <c r="A3">
        <v>723</v>
      </c>
      <c r="B3" s="1">
        <f>Simulation_EdgeDislocation_0v!B2+Simulation_EdgeDislocation_1vv!B3-(0.01582454*(Simulation_EdgeDislocation_0v!B2))</f>
        <v>2.2269842491727083E-14</v>
      </c>
    </row>
    <row r="4" spans="1:2">
      <c r="A4">
        <v>773</v>
      </c>
      <c r="B4" s="1">
        <f>Simulation_EdgeDislocation_0v!B3+Simulation_EdgeDislocation_1vv!B4-(0.01779127*(Simulation_EdgeDislocation_0v!B3))</f>
        <v>5.7816918674617008E-14</v>
      </c>
    </row>
    <row r="5" spans="1:2">
      <c r="A5">
        <v>823</v>
      </c>
      <c r="B5" s="1">
        <f>Simulation_EdgeDislocation_0v!B4+Simulation_EdgeDislocation_1vv!B5-(0.0198875*(Simulation_EdgeDislocation_0v!B4))</f>
        <v>1.4930999703121248E-13</v>
      </c>
    </row>
    <row r="6" spans="1:2">
      <c r="A6">
        <v>873</v>
      </c>
      <c r="B6" s="1">
        <f>Simulation_EdgeDislocation_0v!B5+Simulation_EdgeDislocation_1vv!B6-(0.02211295*(Simulation_EdgeDislocation_0v!B5))</f>
        <v>2.2092642122908249E-13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0293-2338-4266-8248-995B3574F480}">
  <dimension ref="A1:B6"/>
  <sheetViews>
    <sheetView workbookViewId="0">
      <selection activeCell="B5" sqref="B5"/>
    </sheetView>
  </sheetViews>
  <sheetFormatPr defaultRowHeight="14.4"/>
  <sheetData>
    <row r="1" spans="1:2">
      <c r="A1" t="s">
        <v>1</v>
      </c>
      <c r="B1" t="s">
        <v>0</v>
      </c>
    </row>
    <row r="2" spans="1:2">
      <c r="A2">
        <v>673</v>
      </c>
      <c r="B2" s="1">
        <f>Simulation_ScrewDislocation_1vv!B2</f>
        <v>4.464993525324E-17</v>
      </c>
    </row>
    <row r="3" spans="1:2">
      <c r="A3">
        <v>723</v>
      </c>
      <c r="B3" s="1">
        <f>Simulation_ScrewDislocation_1vv!B3</f>
        <v>1.120601656579E-16</v>
      </c>
    </row>
    <row r="4" spans="1:2">
      <c r="A4">
        <v>773</v>
      </c>
      <c r="B4" s="1">
        <f>Simulation_ScrewDislocation_1vv!B4</f>
        <v>1.4496731622822E-16</v>
      </c>
    </row>
    <row r="5" spans="1:2">
      <c r="A5">
        <v>823</v>
      </c>
      <c r="B5" s="1">
        <f>Simulation_ScrewDislocation_1vv!B5</f>
        <v>6.3310003927049996E-16</v>
      </c>
    </row>
    <row r="6" spans="1:2">
      <c r="A6">
        <v>873</v>
      </c>
      <c r="B6" s="1">
        <f>Simulation_ScrewDislocation_1vv!B6</f>
        <v>1.8142562408680001E-15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461D-2ED9-49D9-A6D8-8FCE8DB02825}">
  <dimension ref="A1:B20"/>
  <sheetViews>
    <sheetView workbookViewId="0">
      <selection activeCell="I29" sqref="I29"/>
    </sheetView>
  </sheetViews>
  <sheetFormatPr defaultRowHeight="14.4"/>
  <sheetData>
    <row r="1" spans="1:2">
      <c r="A1" t="s">
        <v>2</v>
      </c>
      <c r="B1" t="s">
        <v>0</v>
      </c>
    </row>
    <row r="2" spans="1:2">
      <c r="A2">
        <v>873.14892428052531</v>
      </c>
      <c r="B2" s="1">
        <v>1.01901E-15</v>
      </c>
    </row>
    <row r="3" spans="1:2">
      <c r="A3">
        <v>873.14892428052531</v>
      </c>
      <c r="B3" s="1">
        <v>2.33184E-15</v>
      </c>
    </row>
    <row r="4" spans="1:2">
      <c r="A4">
        <v>873.14892428052531</v>
      </c>
      <c r="B4" s="2">
        <v>2.0719500000000001E-15</v>
      </c>
    </row>
    <row r="5" spans="1:2">
      <c r="A5">
        <v>823.14689056262091</v>
      </c>
      <c r="B5" s="1">
        <v>3.5035399999999998E-16</v>
      </c>
    </row>
    <row r="6" spans="1:2">
      <c r="A6">
        <v>823.14689056262091</v>
      </c>
      <c r="B6" s="1">
        <v>3.3104600000000001E-16</v>
      </c>
    </row>
    <row r="7" spans="1:2">
      <c r="A7">
        <v>823.14689056262091</v>
      </c>
      <c r="B7" s="1">
        <v>4.3200899999999998E-16</v>
      </c>
    </row>
    <row r="8" spans="1:2">
      <c r="A8">
        <v>773.15004522927768</v>
      </c>
      <c r="B8" s="1">
        <v>9.7566700000000003E-17</v>
      </c>
    </row>
    <row r="9" spans="1:2">
      <c r="A9">
        <v>773.15004522927768</v>
      </c>
      <c r="B9" s="1">
        <v>1.7249500000000001E-16</v>
      </c>
    </row>
    <row r="10" spans="1:2">
      <c r="A10">
        <v>773.15004522927768</v>
      </c>
      <c r="B10" s="1">
        <v>1.0986900000000001E-16</v>
      </c>
    </row>
    <row r="11" spans="1:2">
      <c r="A11">
        <v>723.14946053050244</v>
      </c>
      <c r="B11" s="3">
        <v>3.1973000000000001E-17</v>
      </c>
    </row>
    <row r="12" spans="1:2">
      <c r="A12">
        <v>723.14946053050244</v>
      </c>
      <c r="B12" s="4">
        <v>7.1832899999999996E-17</v>
      </c>
    </row>
    <row r="13" spans="1:2">
      <c r="A13">
        <v>723.14946053050244</v>
      </c>
      <c r="B13" s="1">
        <v>5.21563E-17</v>
      </c>
    </row>
    <row r="14" spans="1:2">
      <c r="A14">
        <v>723.14946053050244</v>
      </c>
      <c r="B14" s="1">
        <v>5.9202499999999999E-17</v>
      </c>
    </row>
    <row r="15" spans="1:2">
      <c r="A15">
        <v>673.15135808286493</v>
      </c>
      <c r="B15" s="1">
        <v>4.7717299999999998E-18</v>
      </c>
    </row>
    <row r="16" spans="1:2">
      <c r="A16">
        <v>673.15135808286493</v>
      </c>
      <c r="B16" s="1">
        <v>3.9126499999999997E-18</v>
      </c>
    </row>
    <row r="17" spans="1:2">
      <c r="A17">
        <v>673.15135808286493</v>
      </c>
      <c r="B17" s="1">
        <v>8.8259899999999994E-18</v>
      </c>
    </row>
    <row r="18" spans="1:2">
      <c r="A18">
        <v>673.15135808286493</v>
      </c>
      <c r="B18" s="1">
        <v>7.8517800000000006E-18</v>
      </c>
    </row>
    <row r="19" spans="1:2">
      <c r="A19">
        <v>673.15135808286493</v>
      </c>
      <c r="B19" s="1">
        <v>4.2442900000000001E-18</v>
      </c>
    </row>
    <row r="20" spans="1:2">
      <c r="B2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D635-3BEC-406E-AD5F-48C9315BAEB0}">
  <dimension ref="A1:B6"/>
  <sheetViews>
    <sheetView tabSelected="1" workbookViewId="0">
      <selection activeCell="F23" sqref="F23"/>
    </sheetView>
  </sheetViews>
  <sheetFormatPr defaultRowHeight="14.4"/>
  <sheetData>
    <row r="1" spans="1:2">
      <c r="A1" t="s">
        <v>1</v>
      </c>
      <c r="B1" t="s">
        <v>0</v>
      </c>
    </row>
    <row r="2" spans="1:2">
      <c r="A2">
        <v>673</v>
      </c>
      <c r="B2">
        <v>4.9999999999999993E-17</v>
      </c>
    </row>
    <row r="3" spans="1:2">
      <c r="A3">
        <v>723</v>
      </c>
      <c r="B3">
        <v>1.3333333333333334E-15</v>
      </c>
    </row>
    <row r="4" spans="1:2">
      <c r="A4">
        <v>773</v>
      </c>
      <c r="B4">
        <v>5E-15</v>
      </c>
    </row>
    <row r="5" spans="1:2">
      <c r="A5">
        <v>823</v>
      </c>
      <c r="B5">
        <v>1E-14</v>
      </c>
    </row>
    <row r="6" spans="1:2">
      <c r="A6">
        <v>873</v>
      </c>
      <c r="B6">
        <v>1.666666666666667E-14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Simulation_EdgeDislocation_1v</vt:lpstr>
      <vt:lpstr>Simulation_EdgeDislocation_1vv</vt:lpstr>
      <vt:lpstr>Simulation_ScrewDislocation_1v</vt:lpstr>
      <vt:lpstr>Simulation_ScrewDislocation_1vv</vt:lpstr>
      <vt:lpstr>Simulation_EdgeDislocation_0v</vt:lpstr>
      <vt:lpstr>Simulation_Edge_true</vt:lpstr>
      <vt:lpstr>Simulation_Screw_true</vt:lpstr>
      <vt:lpstr>Bulk_Experiments</vt:lpstr>
      <vt:lpstr>Bulk_Simulations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Prasanth Dude</dc:creator>
  <cp:lastModifiedBy>Durga Prasanth Dude</cp:lastModifiedBy>
  <dcterms:created xsi:type="dcterms:W3CDTF">2015-06-05T18:19:34Z</dcterms:created>
  <dcterms:modified xsi:type="dcterms:W3CDTF">2026-06-05T09:24:58Z</dcterms:modified>
</cp:coreProperties>
</file>